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bell" sheetId="1" state="visible" r:id="rId1"/>
    <sheet name="Debt" sheetId="2" state="visible" r:id="rId2"/>
    <sheet name="Calendar" sheetId="3" state="visible" r:id="rId3"/>
    <sheet name="Review" sheetId="4" state="visible" r:id="rId4"/>
    <sheet name="Ma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6">
    <font>
      <name val="Calibri"/>
      <family val="2"/>
      <color theme="1"/>
      <sz val="11"/>
      <scheme val="minor"/>
    </font>
    <font>
      <name val="Georgia"/>
      <b val="1"/>
      <color rgb="006E2639"/>
      <sz val="14"/>
    </font>
    <font>
      <name val="Georgia"/>
      <i val="1"/>
      <color rgb="005A5A5A"/>
      <sz val="9"/>
    </font>
    <font>
      <name val="Georgia"/>
      <b val="1"/>
      <sz val="10"/>
    </font>
    <font>
      <name val="Georgia"/>
      <b val="1"/>
      <color rgb="00FFFFFF"/>
      <sz val="11"/>
    </font>
    <font>
      <name val="Georgia"/>
      <sz val="10"/>
    </font>
  </fonts>
  <fills count="5">
    <fill>
      <patternFill/>
    </fill>
    <fill>
      <patternFill patternType="gray125"/>
    </fill>
    <fill>
      <patternFill patternType="solid">
        <fgColor rgb="006E2639"/>
      </patternFill>
    </fill>
    <fill>
      <patternFill patternType="solid">
        <fgColor rgb="00F7EFF1"/>
      </patternFill>
    </fill>
    <fill>
      <patternFill patternType="solid">
        <fgColor rgb="00EFE4E7"/>
      </patternFill>
    </fill>
  </fills>
  <borders count="2">
    <border>
      <left/>
      <right/>
      <top/>
      <bottom/>
      <diagonal/>
    </border>
    <border>
      <left style="thin">
        <color rgb="00D8C7CC"/>
      </left>
      <right style="thin">
        <color rgb="00D8C7CC"/>
      </right>
      <top style="thin">
        <color rgb="00D8C7CC"/>
      </top>
      <bottom style="thin">
        <color rgb="00D8C7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5" fillId="0" borderId="0" pivotButton="0" quotePrefix="0" xfId="0"/>
    <xf numFmtId="3" fontId="5" fillId="3" borderId="1" pivotButton="0" quotePrefix="0" xfId="0"/>
    <xf numFmtId="3" fontId="3" fillId="4" borderId="0" pivotButton="0" quotePrefix="0" xfId="0"/>
    <xf numFmtId="3" fontId="3" fillId="0" borderId="0" pivotButton="0" quotePrefix="0" xfId="0"/>
    <xf numFmtId="9" fontId="5" fillId="3" borderId="1" pivotButton="0" quotePrefix="0" xfId="0"/>
    <xf numFmtId="3" fontId="5" fillId="0" borderId="1" pivotButton="0" quotePrefix="0" xfId="0"/>
    <xf numFmtId="9" fontId="5" fillId="0" borderId="1" pivotButton="0" quotePrefix="0" xfId="0"/>
    <xf numFmtId="9" fontId="3" fillId="0" borderId="0" pivotButton="0" quotePrefix="0" xfId="0"/>
    <xf numFmtId="164" fontId="5" fillId="3" borderId="1" pivotButton="0" quotePrefix="0" xfId="0"/>
    <xf numFmtId="0" fontId="5" fillId="3" borderId="1" pivotButton="0" quotePrefix="0" xfId="0"/>
    <xf numFmtId="165" fontId="5" fillId="3" borderId="1" pivotButton="0" quotePrefix="0" xfId="0"/>
    <xf numFmtId="0" fontId="5" fillId="0" borderId="1" pivotButton="0" quotePrefix="0" xfId="0"/>
    <xf numFmtId="0" fontId="0" fillId="3" borderId="1" pivotButton="0" quotePrefix="0" xfId="0"/>
    <xf numFmtId="3" fontId="0" fillId="3" borderId="1" pivotButton="0" quotePrefix="0" xfId="0"/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The personal barbell worksheet</t>
        </is>
      </c>
    </row>
    <row r="2">
      <c r="A2" s="2" t="inlineStr">
        <is>
          <t>Chapter 32. Fill the shaded cells. Everything else calculates.</t>
        </is>
      </c>
    </row>
    <row r="4">
      <c r="A4" s="3" t="inlineStr">
        <is>
          <t>PART 1 — THE FLOOR</t>
        </is>
      </c>
    </row>
    <row r="5" ht="22" customHeight="1">
      <c r="A5" s="4" t="inlineStr">
        <is>
          <t>Monthly expense</t>
        </is>
      </c>
      <c r="B5" s="4" t="inlineStr">
        <is>
          <t>Amount (₦)</t>
        </is>
      </c>
    </row>
    <row r="6">
      <c r="A6" s="5" t="inlineStr">
        <is>
          <t>Rent ÷ 12</t>
        </is>
      </c>
      <c r="B6" s="6" t="n"/>
    </row>
    <row r="7">
      <c r="A7" s="5" t="inlineStr">
        <is>
          <t>Food</t>
        </is>
      </c>
      <c r="B7" s="6" t="n"/>
    </row>
    <row r="8">
      <c r="A8" s="5" t="inlineStr">
        <is>
          <t>Transport</t>
        </is>
      </c>
      <c r="B8" s="6" t="n"/>
    </row>
    <row r="9">
      <c r="A9" s="5" t="inlineStr">
        <is>
          <t>School fees ÷ 12</t>
        </is>
      </c>
      <c r="B9" s="6" t="n"/>
    </row>
    <row r="10">
      <c r="A10" s="5" t="inlineStr">
        <is>
          <t>Utilities and data</t>
        </is>
      </c>
      <c r="B10" s="6" t="n"/>
    </row>
    <row r="11">
      <c r="A11" s="5" t="inlineStr">
        <is>
          <t>Medical</t>
        </is>
      </c>
      <c r="B11" s="6" t="n"/>
    </row>
    <row r="12">
      <c r="A12" s="5" t="inlineStr">
        <is>
          <t>Family support</t>
        </is>
      </c>
      <c r="B12" s="6" t="n"/>
    </row>
    <row r="13">
      <c r="A13" s="5" t="inlineStr">
        <is>
          <t>Other</t>
        </is>
      </c>
      <c r="B13" s="6" t="n"/>
    </row>
    <row r="14">
      <c r="A14" s="3" t="inlineStr">
        <is>
          <t>TOTAL MONTHLY EXPENSES</t>
        </is>
      </c>
      <c r="B14" s="7">
        <f>SUM(B6:B13)</f>
        <v/>
      </c>
    </row>
    <row r="16">
      <c r="A16" s="5" t="inlineStr">
        <is>
          <t>Months of cover required (6 salaried, 9+ irregular)</t>
        </is>
      </c>
      <c r="B16" s="6" t="n"/>
    </row>
    <row r="17">
      <c r="A17" s="3" t="inlineStr">
        <is>
          <t>EMERGENCY TARGET</t>
        </is>
      </c>
      <c r="B17" s="8">
        <f>B14*B16</f>
        <v/>
      </c>
    </row>
    <row r="18">
      <c r="A18" s="5" t="inlineStr">
        <is>
          <t>Currently held in a money market fund</t>
        </is>
      </c>
      <c r="B18" s="6" t="n"/>
    </row>
    <row r="19">
      <c r="A19" s="3" t="inlineStr">
        <is>
          <t>SHORTFALL</t>
        </is>
      </c>
      <c r="B19" s="8">
        <f>MAX(0,B17-B18)</f>
        <v/>
      </c>
    </row>
    <row r="20">
      <c r="A20" s="5" t="inlineStr">
        <is>
          <t>Monthly amount I will move until it is zero</t>
        </is>
      </c>
      <c r="B20" s="6" t="n"/>
    </row>
    <row r="22">
      <c r="A22" s="3" t="inlineStr">
        <is>
          <t>PART 2 — THE BARBELL</t>
        </is>
      </c>
    </row>
    <row r="23" ht="22" customHeight="1">
      <c r="A23" s="4" t="inlineStr">
        <is>
          <t>Sleeve</t>
        </is>
      </c>
      <c r="B23" s="4" t="inlineStr">
        <is>
          <t>Target %</t>
        </is>
      </c>
      <c r="C23" s="4" t="inlineStr">
        <is>
          <t>Target ₦</t>
        </is>
      </c>
      <c r="D23" s="4" t="inlineStr">
        <is>
          <t>Actual today ₦</t>
        </is>
      </c>
      <c r="E23" s="4" t="inlineStr">
        <is>
          <t>Actual %</t>
        </is>
      </c>
      <c r="F23" s="4" t="inlineStr">
        <is>
          <t>Gap ₦</t>
        </is>
      </c>
    </row>
    <row r="24">
      <c r="A24" s="5" t="inlineStr">
        <is>
          <t>Naira fixed income (MMF, T-bills, bonds)</t>
        </is>
      </c>
      <c r="B24" s="9" t="n"/>
      <c r="C24" s="10">
        <f>B24*$D$29</f>
        <v/>
      </c>
      <c r="D24" s="6" t="n"/>
      <c r="E24" s="11">
        <f>IF($D$29=0,0,D24/$D$29)</f>
        <v/>
      </c>
      <c r="F24" s="10">
        <f>C24-D24</f>
        <v/>
      </c>
    </row>
    <row r="25">
      <c r="A25" s="5" t="inlineStr">
        <is>
          <t>Hard currency (dollar fund, global ETF)</t>
        </is>
      </c>
      <c r="B25" s="9" t="n"/>
      <c r="C25" s="10">
        <f>B25*$D$29</f>
        <v/>
      </c>
      <c r="D25" s="6" t="n"/>
      <c r="E25" s="11">
        <f>IF($D$29=0,0,D25/$D$29)</f>
        <v/>
      </c>
      <c r="F25" s="10">
        <f>C25-D25</f>
        <v/>
      </c>
    </row>
    <row r="26">
      <c r="A26" s="5" t="inlineStr">
        <is>
          <t>Naira equities (fund, ETF, shares)</t>
        </is>
      </c>
      <c r="B26" s="9" t="n"/>
      <c r="C26" s="10">
        <f>B26*$D$29</f>
        <v/>
      </c>
      <c r="D26" s="6" t="n"/>
      <c r="E26" s="11">
        <f>IF($D$29=0,0,D26/$D$29)</f>
        <v/>
      </c>
      <c r="F26" s="10">
        <f>C26-D26</f>
        <v/>
      </c>
    </row>
    <row r="27">
      <c r="A27" s="5" t="inlineStr">
        <is>
          <t>Convex end (ventures, single shares, crypto)</t>
        </is>
      </c>
      <c r="B27" s="9" t="n"/>
      <c r="C27" s="10">
        <f>B27*$D$29</f>
        <v/>
      </c>
      <c r="D27" s="6" t="n"/>
      <c r="E27" s="11">
        <f>IF($D$29=0,0,D27/$D$29)</f>
        <v/>
      </c>
      <c r="F27" s="10">
        <f>C27-D27</f>
        <v/>
      </c>
    </row>
    <row r="28">
      <c r="A28" s="3" t="inlineStr">
        <is>
          <t>TOTAL</t>
        </is>
      </c>
      <c r="B28" s="12">
        <f>SUM(B24:B27)</f>
        <v/>
      </c>
      <c r="D28" s="8">
        <f>SUM(D24:D27)</f>
        <v/>
      </c>
    </row>
    <row r="30">
      <c r="A30" s="3" t="inlineStr">
        <is>
          <t>My convex end is capped at (₦) — an amount I can lose entirely:</t>
        </is>
      </c>
      <c r="B30" s="6" t="n"/>
    </row>
    <row r="31">
      <c r="A31" s="3" t="inlineStr">
        <is>
          <t>My hard-currency target is set by these foreign obligations:</t>
        </is>
      </c>
      <c r="B31" s="6" t="n"/>
    </row>
    <row r="33">
      <c r="A33" s="3" t="inlineStr">
        <is>
          <t>Date completed:</t>
        </is>
      </c>
      <c r="B33" s="13" t="n"/>
    </row>
    <row r="34">
      <c r="A34" s="3" t="inlineStr">
        <is>
          <t>Annual review date (one year from today):</t>
        </is>
      </c>
      <c r="B34" s="1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6" customWidth="1" min="4" max="4"/>
    <col width="18" customWidth="1" min="5" max="5"/>
    <col width="18" customWidth="1" min="6" max="6"/>
    <col width="26" customWidth="1" min="7" max="7"/>
  </cols>
  <sheetData>
    <row r="1">
      <c r="A1" s="1" t="inlineStr">
        <is>
          <t>Every debt on one page</t>
        </is>
      </c>
    </row>
    <row r="2">
      <c r="A2" s="2" t="inlineStr">
        <is>
          <t>Chapter 12. Convert monthly rates to annual: (1+monthly)^12-1. Anything above 25% is a fire.</t>
        </is>
      </c>
    </row>
    <row r="4" ht="22" customHeight="1">
      <c r="A4" s="4" t="inlineStr">
        <is>
          <t>Lender</t>
        </is>
      </c>
      <c r="B4" s="4" t="inlineStr">
        <is>
          <t>Balance (₦)</t>
        </is>
      </c>
      <c r="C4" s="4" t="inlineStr">
        <is>
          <t>Rate % per month</t>
        </is>
      </c>
      <c r="D4" s="4" t="inlineStr">
        <is>
          <t>Rate % per year</t>
        </is>
      </c>
      <c r="E4" s="4" t="inlineStr">
        <is>
          <t>Monthly payment (₦)</t>
        </is>
      </c>
      <c r="F4" s="4" t="inlineStr">
        <is>
          <t>Priority</t>
        </is>
      </c>
      <c r="G4" s="4" t="inlineStr">
        <is>
          <t>Note</t>
        </is>
      </c>
    </row>
    <row r="5">
      <c r="A5" s="14" t="n"/>
      <c r="B5" s="6" t="n"/>
      <c r="C5" s="15" t="n"/>
      <c r="D5" s="11">
        <f>IF(C5="","",(1+C5)^12-1)</f>
        <v/>
      </c>
      <c r="E5" s="6" t="n"/>
      <c r="F5" s="16">
        <f>IF(D5="","",IF(D5&gt;=2,"FIRE — clear now",IF(D5&gt;=0.25,"Urgent",IF(D5&gt;=0.15,"Normal","Cheap — may keep"))))</f>
        <v/>
      </c>
      <c r="G5" s="14" t="n"/>
    </row>
    <row r="6">
      <c r="A6" s="14" t="n"/>
      <c r="B6" s="6" t="n"/>
      <c r="C6" s="15" t="n"/>
      <c r="D6" s="11">
        <f>IF(C6="","",(1+C6)^12-1)</f>
        <v/>
      </c>
      <c r="E6" s="6" t="n"/>
      <c r="F6" s="16">
        <f>IF(D6="","",IF(D6&gt;=2,"FIRE — clear now",IF(D6&gt;=0.25,"Urgent",IF(D6&gt;=0.15,"Normal","Cheap — may keep"))))</f>
        <v/>
      </c>
      <c r="G6" s="14" t="n"/>
    </row>
    <row r="7">
      <c r="A7" s="14" t="n"/>
      <c r="B7" s="6" t="n"/>
      <c r="C7" s="15" t="n"/>
      <c r="D7" s="11">
        <f>IF(C7="","",(1+C7)^12-1)</f>
        <v/>
      </c>
      <c r="E7" s="6" t="n"/>
      <c r="F7" s="16">
        <f>IF(D7="","",IF(D7&gt;=2,"FIRE — clear now",IF(D7&gt;=0.25,"Urgent",IF(D7&gt;=0.15,"Normal","Cheap — may keep"))))</f>
        <v/>
      </c>
      <c r="G7" s="14" t="n"/>
    </row>
    <row r="8">
      <c r="A8" s="14" t="n"/>
      <c r="B8" s="6" t="n"/>
      <c r="C8" s="15" t="n"/>
      <c r="D8" s="11">
        <f>IF(C8="","",(1+C8)^12-1)</f>
        <v/>
      </c>
      <c r="E8" s="6" t="n"/>
      <c r="F8" s="16">
        <f>IF(D8="","",IF(D8&gt;=2,"FIRE — clear now",IF(D8&gt;=0.25,"Urgent",IF(D8&gt;=0.15,"Normal","Cheap — may keep"))))</f>
        <v/>
      </c>
      <c r="G8" s="14" t="n"/>
    </row>
    <row r="9">
      <c r="A9" s="14" t="n"/>
      <c r="B9" s="6" t="n"/>
      <c r="C9" s="15" t="n"/>
      <c r="D9" s="11">
        <f>IF(C9="","",(1+C9)^12-1)</f>
        <v/>
      </c>
      <c r="E9" s="6" t="n"/>
      <c r="F9" s="16">
        <f>IF(D9="","",IF(D9&gt;=2,"FIRE — clear now",IF(D9&gt;=0.25,"Urgent",IF(D9&gt;=0.15,"Normal","Cheap — may keep"))))</f>
        <v/>
      </c>
      <c r="G9" s="14" t="n"/>
    </row>
    <row r="10">
      <c r="A10" s="14" t="n"/>
      <c r="B10" s="6" t="n"/>
      <c r="C10" s="15" t="n"/>
      <c r="D10" s="11">
        <f>IF(C10="","",(1+C10)^12-1)</f>
        <v/>
      </c>
      <c r="E10" s="6" t="n"/>
      <c r="F10" s="16">
        <f>IF(D10="","",IF(D10&gt;=2,"FIRE — clear now",IF(D10&gt;=0.25,"Urgent",IF(D10&gt;=0.15,"Normal","Cheap — may keep"))))</f>
        <v/>
      </c>
      <c r="G10" s="14" t="n"/>
    </row>
    <row r="11">
      <c r="A11" s="14" t="n"/>
      <c r="B11" s="6" t="n"/>
      <c r="C11" s="15" t="n"/>
      <c r="D11" s="11">
        <f>IF(C11="","",(1+C11)^12-1)</f>
        <v/>
      </c>
      <c r="E11" s="6" t="n"/>
      <c r="F11" s="16">
        <f>IF(D11="","",IF(D11&gt;=2,"FIRE — clear now",IF(D11&gt;=0.25,"Urgent",IF(D11&gt;=0.15,"Normal","Cheap — may keep"))))</f>
        <v/>
      </c>
      <c r="G11" s="14" t="n"/>
    </row>
    <row r="12">
      <c r="A12" s="14" t="n"/>
      <c r="B12" s="6" t="n"/>
      <c r="C12" s="15" t="n"/>
      <c r="D12" s="11">
        <f>IF(C12="","",(1+C12)^12-1)</f>
        <v/>
      </c>
      <c r="E12" s="6" t="n"/>
      <c r="F12" s="16">
        <f>IF(D12="","",IF(D12&gt;=2,"FIRE — clear now",IF(D12&gt;=0.25,"Urgent",IF(D12&gt;=0.15,"Normal","Cheap — may keep"))))</f>
        <v/>
      </c>
      <c r="G12" s="14" t="n"/>
    </row>
    <row r="13">
      <c r="A13" s="14" t="n"/>
      <c r="B13" s="6" t="n"/>
      <c r="C13" s="15" t="n"/>
      <c r="D13" s="11">
        <f>IF(C13="","",(1+C13)^12-1)</f>
        <v/>
      </c>
      <c r="E13" s="6" t="n"/>
      <c r="F13" s="16">
        <f>IF(D13="","",IF(D13&gt;=2,"FIRE — clear now",IF(D13&gt;=0.25,"Urgent",IF(D13&gt;=0.15,"Normal","Cheap — may keep"))))</f>
        <v/>
      </c>
      <c r="G13" s="14" t="n"/>
    </row>
    <row r="14">
      <c r="A14" s="14" t="n"/>
      <c r="B14" s="6" t="n"/>
      <c r="C14" s="15" t="n"/>
      <c r="D14" s="11">
        <f>IF(C14="","",(1+C14)^12-1)</f>
        <v/>
      </c>
      <c r="E14" s="6" t="n"/>
      <c r="F14" s="16">
        <f>IF(D14="","",IF(D14&gt;=2,"FIRE — clear now",IF(D14&gt;=0.25,"Urgent",IF(D14&gt;=0.15,"Normal","Cheap — may keep"))))</f>
        <v/>
      </c>
      <c r="G14" s="14" t="n"/>
    </row>
    <row r="15">
      <c r="A15" s="14" t="n"/>
      <c r="B15" s="6" t="n"/>
      <c r="C15" s="15" t="n"/>
      <c r="D15" s="11">
        <f>IF(C15="","",(1+C15)^12-1)</f>
        <v/>
      </c>
      <c r="E15" s="6" t="n"/>
      <c r="F15" s="16">
        <f>IF(D15="","",IF(D15&gt;=2,"FIRE — clear now",IF(D15&gt;=0.25,"Urgent",IF(D15&gt;=0.15,"Normal","Cheap — may keep"))))</f>
        <v/>
      </c>
      <c r="G15" s="14" t="n"/>
    </row>
    <row r="16">
      <c r="A16" s="14" t="n"/>
      <c r="B16" s="6" t="n"/>
      <c r="C16" s="15" t="n"/>
      <c r="D16" s="11">
        <f>IF(C16="","",(1+C16)^12-1)</f>
        <v/>
      </c>
      <c r="E16" s="6" t="n"/>
      <c r="F16" s="16">
        <f>IF(D16="","",IF(D16&gt;=2,"FIRE — clear now",IF(D16&gt;=0.25,"Urgent",IF(D16&gt;=0.15,"Normal","Cheap — may keep"))))</f>
        <v/>
      </c>
      <c r="G16" s="14" t="n"/>
    </row>
    <row r="17">
      <c r="A17" s="3" t="inlineStr">
        <is>
          <t>TOTAL</t>
        </is>
      </c>
      <c r="B17" s="8">
        <f>SUM(B5:B16)</f>
        <v/>
      </c>
      <c r="E17" s="8">
        <f>SUM(E5:E16)</f>
        <v/>
      </c>
    </row>
    <row r="19">
      <c r="A19" s="3" t="inlineStr">
        <is>
          <t>Contact permissions revoked on every lending app on my phone?</t>
        </is>
      </c>
      <c r="B19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34" customWidth="1" min="3" max="3"/>
  </cols>
  <sheetData>
    <row r="1">
      <c r="A1" s="1" t="inlineStr">
        <is>
          <t>The calendar fund</t>
        </is>
      </c>
    </row>
    <row r="2">
      <c r="A2" s="2" t="inlineStr">
        <is>
          <t>Chapter 43. Reconstruct last year honestly, add 20%, divide by twelve. Pay every ceremony from this account only.</t>
        </is>
      </c>
    </row>
    <row r="4" ht="22" customHeight="1">
      <c r="A4" s="4" t="inlineStr">
        <is>
          <t>Obligation</t>
        </is>
      </c>
      <c r="B4" s="4" t="inlineStr">
        <is>
          <t>Last year (₦)</t>
        </is>
      </c>
      <c r="C4" s="4" t="inlineStr">
        <is>
          <t>Notes</t>
        </is>
      </c>
    </row>
    <row r="5">
      <c r="A5" s="16" t="inlineStr">
        <is>
          <t>January school fees</t>
        </is>
      </c>
      <c r="B5" s="18" t="n"/>
      <c r="C5" s="17" t="n"/>
    </row>
    <row r="6">
      <c r="A6" s="16" t="inlineStr">
        <is>
          <t>September school fees</t>
        </is>
      </c>
      <c r="B6" s="18" t="n"/>
      <c r="C6" s="17" t="n"/>
    </row>
    <row r="7">
      <c r="A7" s="16" t="inlineStr">
        <is>
          <t>Ramadan / Eid al-Fitr</t>
        </is>
      </c>
      <c r="B7" s="18" t="n"/>
      <c r="C7" s="17" t="n"/>
    </row>
    <row r="8">
      <c r="A8" s="16" t="inlineStr">
        <is>
          <t>Eid al-Adha (ram, distribution)</t>
        </is>
      </c>
      <c r="B8" s="18" t="n"/>
      <c r="C8" s="17" t="n"/>
    </row>
    <row r="9">
      <c r="A9" s="16" t="inlineStr">
        <is>
          <t>Easter</t>
        </is>
      </c>
      <c r="B9" s="18" t="n"/>
      <c r="C9" s="17" t="n"/>
    </row>
    <row r="10">
      <c r="A10" s="16" t="inlineStr">
        <is>
          <t>August meeting</t>
        </is>
      </c>
      <c r="B10" s="18" t="n"/>
      <c r="C10" s="17" t="n"/>
    </row>
    <row r="11">
      <c r="A11" s="16" t="inlineStr">
        <is>
          <t>Town union / development levies</t>
        </is>
      </c>
      <c r="B11" s="18" t="n"/>
      <c r="C11" s="17" t="n"/>
    </row>
    <row r="12">
      <c r="A12" s="16" t="inlineStr">
        <is>
          <t>Age grade / community</t>
        </is>
      </c>
      <c r="B12" s="18" t="n"/>
      <c r="C12" s="17" t="n"/>
    </row>
    <row r="13">
      <c r="A13" s="16" t="inlineStr">
        <is>
          <t>Weddings attended</t>
        </is>
      </c>
      <c r="B13" s="18" t="n"/>
      <c r="C13" s="17" t="n"/>
    </row>
    <row r="14">
      <c r="A14" s="16" t="inlineStr">
        <is>
          <t>Aso-ebi</t>
        </is>
      </c>
      <c r="B14" s="18" t="n"/>
      <c r="C14" s="17" t="n"/>
    </row>
    <row r="15">
      <c r="A15" s="16" t="inlineStr">
        <is>
          <t>Burials attended</t>
        </is>
      </c>
      <c r="B15" s="18" t="n"/>
      <c r="C15" s="17" t="n"/>
    </row>
    <row r="16">
      <c r="A16" s="16" t="inlineStr">
        <is>
          <t>Christmas / December travel</t>
        </is>
      </c>
      <c r="B16" s="18" t="n"/>
      <c r="C16" s="17" t="n"/>
    </row>
    <row r="17">
      <c r="A17" s="16" t="inlineStr">
        <is>
          <t>December hosting and gifts</t>
        </is>
      </c>
      <c r="B17" s="18" t="n"/>
      <c r="C17" s="17" t="n"/>
    </row>
    <row r="18">
      <c r="A18" s="16" t="inlineStr">
        <is>
          <t>Thanksgiving / harvest</t>
        </is>
      </c>
      <c r="B18" s="18" t="n"/>
      <c r="C18" s="17" t="n"/>
    </row>
    <row r="19">
      <c r="A19" s="16" t="inlineStr">
        <is>
          <t>Tithe / offering / zakat / sadaqah</t>
        </is>
      </c>
      <c r="B19" s="18" t="n"/>
      <c r="C19" s="17" t="n"/>
    </row>
    <row r="20">
      <c r="A20" s="16" t="inlineStr">
        <is>
          <t>Naming ceremonies, birthdays</t>
        </is>
      </c>
      <c r="B20" s="18" t="n"/>
      <c r="C20" s="17" t="n"/>
    </row>
    <row r="21">
      <c r="A21" s="16" t="inlineStr">
        <is>
          <t>Other</t>
        </is>
      </c>
      <c r="B21" s="18" t="n"/>
      <c r="C21" s="17" t="n"/>
    </row>
    <row r="22">
      <c r="A22" s="3" t="inlineStr">
        <is>
          <t>TOTAL LAST YEAR</t>
        </is>
      </c>
      <c r="B22" s="8">
        <f>SUM(B5:B21)</f>
        <v/>
      </c>
    </row>
    <row r="23">
      <c r="A23" s="3" t="inlineStr">
        <is>
          <t>Plus 20% (recall is incomplete and prices rise)</t>
        </is>
      </c>
      <c r="B23" s="8">
        <f>B22*1.2</f>
        <v/>
      </c>
    </row>
    <row r="24">
      <c r="A24" s="3" t="inlineStr">
        <is>
          <t>MONTHLY CONTRIBUTION TO THE CALENDAR FUND</t>
        </is>
      </c>
      <c r="B24" s="7">
        <f>B23/12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24" customWidth="1" min="2" max="2"/>
    <col width="24" customWidth="1" min="3" max="3"/>
  </cols>
  <sheetData>
    <row r="1">
      <c r="A1" s="1" t="inlineStr">
        <is>
          <t>The annual review</t>
        </is>
      </c>
    </row>
    <row r="2">
      <c r="A2" s="2" t="inlineStr">
        <is>
          <t>Chapter 45. Once a year, one sitting. Write this year's answers before reading last year's.</t>
        </is>
      </c>
    </row>
    <row r="4" ht="22" customHeight="1">
      <c r="A4" s="4" t="inlineStr">
        <is>
          <t>Question</t>
        </is>
      </c>
      <c r="B4" s="4" t="inlineStr">
        <is>
          <t>This year</t>
        </is>
      </c>
      <c r="C4" s="4" t="inlineStr">
        <is>
          <t>Last year</t>
        </is>
      </c>
    </row>
    <row r="5">
      <c r="A5" s="19" t="inlineStr">
        <is>
          <t>Months of expenses held in liquid safe money</t>
        </is>
      </c>
      <c r="B5" s="20" t="n"/>
      <c r="C5" s="20" t="n"/>
    </row>
    <row r="6">
      <c r="A6" s="19" t="inlineStr">
        <is>
          <t>Have my monthly expenses changed? (recompute)</t>
        </is>
      </c>
      <c r="B6" s="20" t="n"/>
      <c r="C6" s="20" t="n"/>
    </row>
    <row r="7">
      <c r="A7" s="19" t="inlineStr">
        <is>
          <t>Health cover in force, and still matching the household?</t>
        </is>
      </c>
      <c r="B7" s="20" t="n"/>
      <c r="C7" s="20" t="n"/>
    </row>
    <row r="8">
      <c r="A8" s="19" t="inlineStr">
        <is>
          <t>Life cover still adequate for actual dependants?</t>
        </is>
      </c>
      <c r="B8" s="20" t="n"/>
      <c r="C8" s="20" t="n"/>
    </row>
    <row r="9">
      <c r="A9" s="19" t="inlineStr">
        <is>
          <t>Any debt above 25% a year? (if yes, stop and go to Chapter 12)</t>
        </is>
      </c>
      <c r="B9" s="20" t="n"/>
      <c r="C9" s="20" t="n"/>
    </row>
    <row r="10">
      <c r="A10" s="19" t="inlineStr">
        <is>
          <t>Actual vs target: naira fixed income</t>
        </is>
      </c>
      <c r="B10" s="20" t="n"/>
      <c r="C10" s="20" t="n"/>
    </row>
    <row r="11">
      <c r="A11" s="19" t="inlineStr">
        <is>
          <t>Actual vs target: hard currency</t>
        </is>
      </c>
      <c r="B11" s="20" t="n"/>
      <c r="C11" s="20" t="n"/>
    </row>
    <row r="12">
      <c r="A12" s="19" t="inlineStr">
        <is>
          <t>Actual vs target: naira equities</t>
        </is>
      </c>
      <c r="B12" s="20" t="n"/>
      <c r="C12" s="20" t="n"/>
    </row>
    <row r="13">
      <c r="A13" s="19" t="inlineStr">
        <is>
          <t>Actual vs target: convex end</t>
        </is>
      </c>
      <c r="B13" s="20" t="n"/>
      <c r="C13" s="20" t="n"/>
    </row>
    <row r="14">
      <c r="A14" s="19" t="inlineStr">
        <is>
          <t>Has the convex end grown into something that can hurt me?</t>
        </is>
      </c>
      <c r="B14" s="20" t="n"/>
      <c r="C14" s="20" t="n"/>
    </row>
    <row r="15">
      <c r="A15" s="19" t="inlineStr">
        <is>
          <t>What could I not exit within a week?</t>
        </is>
      </c>
      <c r="B15" s="20" t="n"/>
      <c r="C15" s="20" t="n"/>
    </row>
    <row r="16">
      <c r="A16" s="19" t="inlineStr">
        <is>
          <t>What did I buy, and does the written reason still hold?</t>
        </is>
      </c>
      <c r="B16" s="20" t="n"/>
      <c r="C16" s="20" t="n"/>
    </row>
    <row r="17">
      <c r="A17" s="19" t="inlineStr">
        <is>
          <t>What did I sell, and for which of the four good reasons?</t>
        </is>
      </c>
      <c r="B17" s="20" t="n"/>
      <c r="C17" s="20" t="n"/>
    </row>
    <row r="18">
      <c r="A18" s="19" t="inlineStr">
        <is>
          <t>How many times did I trade?</t>
        </is>
      </c>
      <c r="B18" s="20" t="n"/>
      <c r="C18" s="20" t="n"/>
    </row>
    <row r="19">
      <c r="A19" s="19" t="inlineStr">
        <is>
          <t>What did I decline, and am I still comfortable?</t>
        </is>
      </c>
      <c r="B19" s="20" t="n"/>
      <c r="C19" s="20" t="n"/>
    </row>
    <row r="20">
      <c r="A20" s="19" t="inlineStr">
        <is>
          <t>What changed in my life the structure has not caught up with?</t>
        </is>
      </c>
      <c r="B20" s="20" t="n"/>
      <c r="C20" s="20" t="n"/>
    </row>
    <row r="21">
      <c r="A21" s="19" t="inlineStr">
        <is>
          <t>Nominal return this year (%)</t>
        </is>
      </c>
      <c r="B21" s="20" t="n"/>
      <c r="C21" s="20" t="n"/>
    </row>
    <row r="22">
      <c r="A22" s="19" t="inlineStr">
        <is>
          <t>Inflation this year (%)</t>
        </is>
      </c>
      <c r="B22" s="20" t="n"/>
      <c r="C22" s="20" t="n"/>
    </row>
    <row r="23">
      <c r="A23" s="19" t="inlineStr">
        <is>
          <t>REAL return (nominal minus inflation)</t>
        </is>
      </c>
      <c r="B23" s="20" t="n"/>
      <c r="C23" s="20" t="n"/>
    </row>
    <row r="24">
      <c r="A24" s="19" t="inlineStr">
        <is>
          <t>Return converted to dollars (%)</t>
        </is>
      </c>
      <c r="B24" s="20" t="n"/>
      <c r="C24" s="20" t="n"/>
    </row>
    <row r="25">
      <c r="A25" s="19" t="inlineStr">
        <is>
          <t>Did I beat a money market fund? For how many years running?</t>
        </is>
      </c>
      <c r="B25" s="20" t="n"/>
      <c r="C25" s="20" t="n"/>
    </row>
    <row r="26">
      <c r="A26" s="19" t="inlineStr">
        <is>
          <t>Master document current, and can the right person find it?</t>
        </is>
      </c>
      <c r="B26" s="20" t="n"/>
      <c r="C26" s="20" t="n"/>
    </row>
    <row r="27">
      <c r="A27" s="19" t="inlineStr">
        <is>
          <t>Next of kin correct on every account?</t>
        </is>
      </c>
      <c r="B27" s="20" t="n"/>
      <c r="C27" s="20" t="n"/>
    </row>
    <row r="28">
      <c r="A28" s="19" t="inlineStr">
        <is>
          <t>Any dividends unmandated, any new account not on the list?</t>
        </is>
      </c>
      <c r="B28" s="20" t="n"/>
      <c r="C28" s="2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26" customWidth="1" min="4" max="4"/>
  </cols>
  <sheetData>
    <row r="1">
      <c r="A1" s="1" t="inlineStr">
        <is>
          <t>The master document</t>
        </is>
      </c>
    </row>
    <row r="2">
      <c r="A2" s="2" t="inlineStr">
        <is>
          <t>Chapter 47. The single page your family will need. Keep it current; tell one person where it is.</t>
        </is>
      </c>
    </row>
    <row r="4" ht="22" customHeight="1">
      <c r="A4" s="4" t="inlineStr">
        <is>
          <t>What</t>
        </is>
      </c>
      <c r="B4" s="4" t="inlineStr">
        <is>
          <t>Institution</t>
        </is>
      </c>
      <c r="C4" s="4" t="inlineStr">
        <is>
          <t>Number / reference</t>
        </is>
      </c>
      <c r="D4" s="4" t="inlineStr">
        <is>
          <t>Where the papers are</t>
        </is>
      </c>
    </row>
    <row r="5">
      <c r="A5" s="16" t="inlineStr">
        <is>
          <t>Bank account 1</t>
        </is>
      </c>
      <c r="B5" s="14" t="n"/>
      <c r="C5" s="14" t="n"/>
      <c r="D5" s="14" t="n"/>
    </row>
    <row r="6">
      <c r="A6" s="16" t="inlineStr">
        <is>
          <t>Bank account 2</t>
        </is>
      </c>
      <c r="B6" s="14" t="n"/>
      <c r="C6" s="14" t="n"/>
      <c r="D6" s="14" t="n"/>
    </row>
    <row r="7">
      <c r="A7" s="16" t="inlineStr">
        <is>
          <t>Domiciliary account</t>
        </is>
      </c>
      <c r="B7" s="14" t="n"/>
      <c r="C7" s="14" t="n"/>
      <c r="D7" s="14" t="n"/>
    </row>
    <row r="8">
      <c r="A8" s="16" t="inlineStr">
        <is>
          <t>Money market fund</t>
        </is>
      </c>
      <c r="B8" s="14" t="n"/>
      <c r="C8" s="14" t="n"/>
      <c r="D8" s="14" t="n"/>
    </row>
    <row r="9">
      <c r="A9" s="16" t="inlineStr">
        <is>
          <t>Other funds</t>
        </is>
      </c>
      <c r="B9" s="14" t="n"/>
      <c r="C9" s="14" t="n"/>
      <c r="D9" s="14" t="n"/>
    </row>
    <row r="10">
      <c r="A10" s="16" t="inlineStr">
        <is>
          <t>Stockbroker</t>
        </is>
      </c>
      <c r="B10" s="14" t="n"/>
      <c r="C10" s="14" t="n"/>
      <c r="D10" s="14" t="n"/>
    </row>
    <row r="11">
      <c r="A11" s="16" t="inlineStr">
        <is>
          <t>CHN / CSCS account</t>
        </is>
      </c>
      <c r="B11" s="14" t="n"/>
      <c r="C11" s="14" t="n"/>
      <c r="D11" s="14" t="n"/>
    </row>
    <row r="12">
      <c r="A12" s="16" t="inlineStr">
        <is>
          <t>Registrars</t>
        </is>
      </c>
      <c r="B12" s="14" t="n"/>
      <c r="C12" s="14" t="n"/>
      <c r="D12" s="14" t="n"/>
    </row>
    <row r="13">
      <c r="A13" s="16" t="inlineStr">
        <is>
          <t>Pension (PFA) / RSA PIN</t>
        </is>
      </c>
      <c r="B13" s="14" t="n"/>
      <c r="C13" s="14" t="n"/>
      <c r="D13" s="14" t="n"/>
    </row>
    <row r="14">
      <c r="A14" s="16" t="inlineStr">
        <is>
          <t>Health insurance</t>
        </is>
      </c>
      <c r="B14" s="14" t="n"/>
      <c r="C14" s="14" t="n"/>
      <c r="D14" s="14" t="n"/>
    </row>
    <row r="15">
      <c r="A15" s="16" t="inlineStr">
        <is>
          <t>Life insurance</t>
        </is>
      </c>
      <c r="B15" s="14" t="n"/>
      <c r="C15" s="14" t="n"/>
      <c r="D15" s="14" t="n"/>
    </row>
    <row r="16">
      <c r="A16" s="16" t="inlineStr">
        <is>
          <t>Other insurance</t>
        </is>
      </c>
      <c r="B16" s="14" t="n"/>
      <c r="C16" s="14" t="n"/>
      <c r="D16" s="14" t="n"/>
    </row>
    <row r="17">
      <c r="A17" s="16" t="inlineStr">
        <is>
          <t>Property document 1</t>
        </is>
      </c>
      <c r="B17" s="14" t="n"/>
      <c r="C17" s="14" t="n"/>
      <c r="D17" s="14" t="n"/>
    </row>
    <row r="18">
      <c r="A18" s="16" t="inlineStr">
        <is>
          <t>Property document 2</t>
        </is>
      </c>
      <c r="B18" s="14" t="n"/>
      <c r="C18" s="14" t="n"/>
      <c r="D18" s="14" t="n"/>
    </row>
    <row r="19">
      <c r="A19" s="16" t="inlineStr">
        <is>
          <t>Cooperative</t>
        </is>
      </c>
      <c r="B19" s="14" t="n"/>
      <c r="C19" s="14" t="n"/>
      <c r="D19" s="14" t="n"/>
    </row>
    <row r="20">
      <c r="A20" s="16" t="inlineStr">
        <is>
          <t>Business (CAC number, TIN)</t>
        </is>
      </c>
      <c r="B20" s="14" t="n"/>
      <c r="C20" s="14" t="n"/>
      <c r="D20" s="14" t="n"/>
    </row>
    <row r="21">
      <c r="A21" s="16" t="inlineStr">
        <is>
          <t>Foreign platform / account</t>
        </is>
      </c>
      <c r="B21" s="14" t="n"/>
      <c r="C21" s="14" t="n"/>
      <c r="D21" s="14" t="n"/>
    </row>
    <row r="22">
      <c r="A22" s="16" t="inlineStr">
        <is>
          <t>Debts owed by me</t>
        </is>
      </c>
      <c r="B22" s="14" t="n"/>
      <c r="C22" s="14" t="n"/>
      <c r="D22" s="14" t="n"/>
    </row>
    <row r="23">
      <c r="A23" s="16" t="inlineStr">
        <is>
          <t>Debts owed to me</t>
        </is>
      </c>
      <c r="B23" s="14" t="n"/>
      <c r="C23" s="14" t="n"/>
      <c r="D23" s="14" t="n"/>
    </row>
    <row r="24">
      <c r="A24" s="16" t="inlineStr">
        <is>
          <t>Will — where deposited</t>
        </is>
      </c>
      <c r="B24" s="14" t="n"/>
      <c r="C24" s="14" t="n"/>
      <c r="D24" s="14" t="n"/>
    </row>
    <row r="25">
      <c r="A25" s="16" t="inlineStr">
        <is>
          <t>Executor</t>
        </is>
      </c>
      <c r="B25" s="14" t="n"/>
      <c r="C25" s="14" t="n"/>
      <c r="D25" s="14" t="n"/>
    </row>
    <row r="26">
      <c r="A26" s="16" t="inlineStr">
        <is>
          <t>Lawyer</t>
        </is>
      </c>
      <c r="B26" s="14" t="n"/>
      <c r="C26" s="14" t="n"/>
      <c r="D26" s="14" t="n"/>
    </row>
    <row r="27">
      <c r="A27" s="16" t="inlineStr">
        <is>
          <t>Next of kin</t>
        </is>
      </c>
      <c r="B27" s="14" t="n"/>
      <c r="C27" s="14" t="n"/>
      <c r="D27" s="14" t="n"/>
    </row>
    <row r="29">
      <c r="A29" s="3" t="inlineStr">
        <is>
          <t>A copy of this page is held by:</t>
        </is>
      </c>
      <c r="B29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2026-08-06T19:37:40Z</dcterms:created>
  <dcterms:modified xsi:type="dcterms:W3CDTF">2026-08-06T19:37:40Z</dcterms:modified>
</cp:coreProperties>
</file>